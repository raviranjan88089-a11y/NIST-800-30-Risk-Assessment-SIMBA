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140" windowWidth="19140" windowHeight="7090"/>
  </bookViews>
  <sheets>
    <sheet name="Sheet1" sheetId="1" r:id="rId1"/>
    <sheet name="Sheet2" sheetId="2" r:id="rId2"/>
    <sheet name="Sheet3" sheetId="3" r:id="rId3"/>
  </sheets>
  <calcPr calcId="145621"/>
</workbook>
</file>

<file path=xl/calcChain.xml><?xml version="1.0" encoding="utf-8"?>
<calcChain xmlns="http://schemas.openxmlformats.org/spreadsheetml/2006/main">
  <c r="G2" i="1" l="1"/>
  <c r="G3" i="1"/>
  <c r="G4" i="1"/>
  <c r="G6" i="1"/>
  <c r="G7" i="1"/>
  <c r="G8" i="1"/>
  <c r="G9" i="1"/>
  <c r="G10" i="1"/>
  <c r="G11" i="1"/>
  <c r="G5" i="1"/>
</calcChain>
</file>

<file path=xl/sharedStrings.xml><?xml version="1.0" encoding="utf-8"?>
<sst xmlns="http://schemas.openxmlformats.org/spreadsheetml/2006/main" count="72" uniqueCount="47">
  <si>
    <t>Risk ID</t>
  </si>
  <si>
    <t>Risk Description</t>
  </si>
  <si>
    <t>Threat Source</t>
  </si>
  <si>
    <t>Asset Impacted</t>
  </si>
  <si>
    <t>Likelihood</t>
  </si>
  <si>
    <t>Impact</t>
  </si>
  <si>
    <t>Risk Score</t>
  </si>
  <si>
    <t>Risk Treatment Strategy</t>
  </si>
  <si>
    <t xml:space="preserve">Proposed Controls </t>
  </si>
  <si>
    <t>Residual Risk</t>
  </si>
  <si>
    <t>R1</t>
  </si>
  <si>
    <t>R2</t>
  </si>
  <si>
    <t>R3</t>
  </si>
  <si>
    <t>R4</t>
  </si>
  <si>
    <t>R5</t>
  </si>
  <si>
    <t>R6</t>
  </si>
  <si>
    <t>R7</t>
  </si>
  <si>
    <t>R8</t>
  </si>
  <si>
    <t>R9</t>
  </si>
  <si>
    <t>R10</t>
  </si>
  <si>
    <t>A disgruntled employee has access to Github repository, leading them to stealing 0.01$ from every account everyday</t>
  </si>
  <si>
    <t xml:space="preserve">A employee who has left the firm, has created a back door entry leading to deleting the data base </t>
  </si>
  <si>
    <t>A disgruntled employee has access to Admin panel leading to deleting the AWS lambda service</t>
  </si>
  <si>
    <t>An employee who has left the firm still has access to Admin portal leading to downloading PII data of employee and selling them</t>
  </si>
  <si>
    <t>AWS Lambda cold start due to which customers missing the initial purchase , leading to lots of fines and losses</t>
  </si>
  <si>
    <t>Third party payment lines broken, leading to customers facing payment declined request, after amount is deducted from their account</t>
  </si>
  <si>
    <t>Outdated (not updated) market news with incorrect gold rates, leading to false buy from customers and hence facing huge loss and financial fines</t>
  </si>
  <si>
    <t>KYC platform down, leading to customers facing login issues and have to redo the KYC</t>
  </si>
  <si>
    <t>Malicious code inserted in the AWS Lambda service, leading to downtime for the platform, hence inconvenience for the customers as well as financial loss</t>
  </si>
  <si>
    <t>Corrupt authentication in the API Gateway leading to a cyber-attack. Huge financial loss and fines imposed</t>
  </si>
  <si>
    <t>Mitigate</t>
  </si>
  <si>
    <t>Accept</t>
  </si>
  <si>
    <t>Medium</t>
  </si>
  <si>
    <t>Low</t>
  </si>
  <si>
    <t xml:space="preserve">1. Technical Control Implemented, such that if the gold rate is not updated within 30 sec, the Buy option is disabled, thus preventing false buy
2. Administrative Control Implemented, such that a SLA of 99.9% is decided with the market feed provider for data refresh.
</t>
  </si>
  <si>
    <t xml:space="preserve">1. Automation to revoke admin access within 15 minutes of termination. Also Check every week if employee is part of the firm or not and basis update Admin portal access
2. Implement a 2- face authentication for accessing and downloading PII
3. Tool that flags bulk export of PII 
</t>
  </si>
  <si>
    <t xml:space="preserve">1. Automate AWS Lambda 10 minutes prior to market open to prevent cold start
2. Implement a Multi-Region Failover. Set up an internal SLA of 0.1 seconds so that If AWS Lambda is slow (less than SLA) for a region it automatically transfers the connection / traffic to another region who is active and responding
</t>
  </si>
  <si>
    <t xml:space="preserve">1. Implement a mutliface access to Admin panel. Configure the AWS environment so that a "Delete" command requires two separate people to approve it in the console before it executes. 
2. Automate a trigger using AWS CloudTrail whenever there is any editable action performed on AWS lambda service.
3. Have a multi-region backup of the service, in case of any disaster
</t>
  </si>
  <si>
    <t xml:space="preserve">1. Implement multi factor authentication and Centralized Identity management (with short lived tokens) for all authentication for API Gateway
2. Have a multi-region backup of the service, such that in case of a cyber attack, we can shut this service and switch over to the backup environment. For the important service, establish a warm site
3. Implement an automated notification trigger (via AWS Cloud Watch) in case of spike in the malicious IP address search or “401 Unauthorized error”
</t>
  </si>
  <si>
    <t xml:space="preserve">1. Automated trigger of revoking access to all the employees who has left the firm within 15 minutes
2. Multifactor authentication before confirmation of any editable action on database. Role based access control and Privilege Action Management 
3. Conduct Quarterly User Access Review (UAR) and Regular pen testing to identify any backdoor entries or unauthorized access.
</t>
  </si>
  <si>
    <t>Third Party Provider</t>
  </si>
  <si>
    <t>Disgruntled Employee</t>
  </si>
  <si>
    <t>Data Flow</t>
  </si>
  <si>
    <t>Data</t>
  </si>
  <si>
    <t xml:space="preserve">Intellectual </t>
  </si>
  <si>
    <t>Infrastructure</t>
  </si>
  <si>
    <t>Financial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</si>
</sst>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cellXfs>
  <cellStyles count="1">
    <cellStyle name="Normal" xfId="0" builtinId="0"/>
  </cellStyles>
  <dxfs count="10">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tabSelected="1" workbookViewId="0">
      <pane ySplit="1" topLeftCell="A5" activePane="bottomLeft" state="frozen"/>
      <selection pane="bottomLeft" activeCell="H2" sqref="H2"/>
    </sheetView>
  </sheetViews>
  <sheetFormatPr defaultRowHeight="14.5" x14ac:dyDescent="0.35"/>
  <cols>
    <col min="1" max="1" width="8.7265625" style="2"/>
    <col min="2" max="2" width="44.08984375" style="3" customWidth="1"/>
    <col min="3" max="3" width="17.90625" style="3" customWidth="1"/>
    <col min="4" max="4" width="14.36328125" style="2" customWidth="1"/>
    <col min="5" max="5" width="9.1796875" style="2" customWidth="1"/>
    <col min="6" max="6" width="7.26953125" style="2" customWidth="1"/>
    <col min="7" max="7" width="10.1796875" style="2" customWidth="1"/>
    <col min="8" max="8" width="12.36328125" style="2" customWidth="1"/>
    <col min="9" max="9" width="50.6328125" style="5" customWidth="1"/>
    <col min="10" max="10" width="14.453125" style="2" customWidth="1"/>
    <col min="11" max="16384" width="8.7265625" style="2"/>
  </cols>
  <sheetData>
    <row r="1" spans="1:10" s="1" customFormat="1" ht="27.5" customHeight="1" x14ac:dyDescent="0.35">
      <c r="A1" s="1" t="s">
        <v>0</v>
      </c>
      <c r="B1" s="1" t="s">
        <v>1</v>
      </c>
      <c r="C1" s="1" t="s">
        <v>2</v>
      </c>
      <c r="D1" s="1" t="s">
        <v>3</v>
      </c>
      <c r="E1" s="1" t="s">
        <v>4</v>
      </c>
      <c r="F1" s="1" t="s">
        <v>5</v>
      </c>
      <c r="G1" s="1" t="s">
        <v>6</v>
      </c>
      <c r="H1" s="1" t="s">
        <v>7</v>
      </c>
      <c r="I1" s="1" t="s">
        <v>8</v>
      </c>
      <c r="J1" s="1" t="s">
        <v>9</v>
      </c>
    </row>
    <row r="2" spans="1:10" ht="103.5" customHeight="1" x14ac:dyDescent="0.35">
      <c r="A2" s="2" t="s">
        <v>16</v>
      </c>
      <c r="B2" s="3" t="s">
        <v>26</v>
      </c>
      <c r="C2" s="3" t="s">
        <v>40</v>
      </c>
      <c r="D2" s="2" t="s">
        <v>44</v>
      </c>
      <c r="E2" s="2">
        <v>4</v>
      </c>
      <c r="F2" s="2">
        <v>4</v>
      </c>
      <c r="G2" s="2">
        <f t="shared" ref="G2:G4" si="0">E2*F2</f>
        <v>16</v>
      </c>
      <c r="H2" s="2" t="s">
        <v>30</v>
      </c>
      <c r="I2" s="4" t="s">
        <v>34</v>
      </c>
      <c r="J2" s="2" t="s">
        <v>32</v>
      </c>
    </row>
    <row r="3" spans="1:10" ht="101.5" x14ac:dyDescent="0.35">
      <c r="A3" s="2" t="s">
        <v>13</v>
      </c>
      <c r="B3" s="3" t="s">
        <v>23</v>
      </c>
      <c r="C3" s="3" t="s">
        <v>41</v>
      </c>
      <c r="D3" s="2" t="s">
        <v>43</v>
      </c>
      <c r="E3" s="2">
        <v>3</v>
      </c>
      <c r="F3" s="2">
        <v>5</v>
      </c>
      <c r="G3" s="2">
        <f t="shared" si="0"/>
        <v>15</v>
      </c>
      <c r="H3" s="2" t="s">
        <v>30</v>
      </c>
      <c r="I3" s="4" t="s">
        <v>35</v>
      </c>
      <c r="J3" s="2" t="s">
        <v>32</v>
      </c>
    </row>
    <row r="4" spans="1:10" ht="116" x14ac:dyDescent="0.35">
      <c r="A4" s="2" t="s">
        <v>14</v>
      </c>
      <c r="B4" s="3" t="s">
        <v>24</v>
      </c>
      <c r="C4" s="3" t="s">
        <v>42</v>
      </c>
      <c r="D4" s="2" t="s">
        <v>45</v>
      </c>
      <c r="E4" s="2">
        <v>3</v>
      </c>
      <c r="F4" s="2">
        <v>4</v>
      </c>
      <c r="G4" s="2">
        <f t="shared" si="0"/>
        <v>12</v>
      </c>
      <c r="H4" s="2" t="s">
        <v>30</v>
      </c>
      <c r="I4" s="4" t="s">
        <v>36</v>
      </c>
      <c r="J4" s="2" t="s">
        <v>32</v>
      </c>
    </row>
    <row r="5" spans="1:10" ht="145" x14ac:dyDescent="0.35">
      <c r="A5" s="2" t="s">
        <v>12</v>
      </c>
      <c r="B5" s="3" t="s">
        <v>22</v>
      </c>
      <c r="C5" s="3" t="s">
        <v>41</v>
      </c>
      <c r="D5" s="2" t="s">
        <v>43</v>
      </c>
      <c r="E5" s="2">
        <v>3</v>
      </c>
      <c r="F5" s="2">
        <v>4</v>
      </c>
      <c r="G5" s="2">
        <f>E5*F5</f>
        <v>12</v>
      </c>
      <c r="H5" s="2" t="s">
        <v>30</v>
      </c>
      <c r="I5" s="4" t="s">
        <v>37</v>
      </c>
      <c r="J5" s="2" t="s">
        <v>33</v>
      </c>
    </row>
    <row r="6" spans="1:10" ht="159.5" x14ac:dyDescent="0.35">
      <c r="A6" s="2" t="s">
        <v>19</v>
      </c>
      <c r="B6" s="3" t="s">
        <v>29</v>
      </c>
      <c r="C6" s="3" t="s">
        <v>42</v>
      </c>
      <c r="D6" s="2" t="s">
        <v>45</v>
      </c>
      <c r="E6" s="2">
        <v>2</v>
      </c>
      <c r="F6" s="2">
        <v>5</v>
      </c>
      <c r="G6" s="2">
        <f t="shared" ref="G6:G11" si="1">E6*F6</f>
        <v>10</v>
      </c>
      <c r="H6" s="2" t="s">
        <v>30</v>
      </c>
      <c r="I6" s="4" t="s">
        <v>38</v>
      </c>
      <c r="J6" s="2" t="s">
        <v>33</v>
      </c>
    </row>
    <row r="7" spans="1:10" ht="130.5" x14ac:dyDescent="0.35">
      <c r="A7" s="2" t="s">
        <v>11</v>
      </c>
      <c r="B7" s="3" t="s">
        <v>21</v>
      </c>
      <c r="C7" s="3" t="s">
        <v>41</v>
      </c>
      <c r="D7" s="2" t="s">
        <v>43</v>
      </c>
      <c r="E7" s="2">
        <v>2</v>
      </c>
      <c r="F7" s="2">
        <v>5</v>
      </c>
      <c r="G7" s="2">
        <f t="shared" si="1"/>
        <v>10</v>
      </c>
      <c r="H7" s="2" t="s">
        <v>30</v>
      </c>
      <c r="I7" s="4" t="s">
        <v>39</v>
      </c>
      <c r="J7" s="2" t="s">
        <v>33</v>
      </c>
    </row>
    <row r="8" spans="1:10" ht="43.5" x14ac:dyDescent="0.35">
      <c r="A8" s="2" t="s">
        <v>10</v>
      </c>
      <c r="B8" s="3" t="s">
        <v>20</v>
      </c>
      <c r="C8" s="3" t="s">
        <v>41</v>
      </c>
      <c r="D8" s="2" t="s">
        <v>46</v>
      </c>
      <c r="E8" s="2">
        <v>2</v>
      </c>
      <c r="F8" s="2">
        <v>4</v>
      </c>
      <c r="G8" s="2">
        <f t="shared" si="1"/>
        <v>8</v>
      </c>
      <c r="H8" s="2" t="s">
        <v>31</v>
      </c>
    </row>
    <row r="9" spans="1:10" ht="43.5" x14ac:dyDescent="0.35">
      <c r="A9" s="2" t="s">
        <v>15</v>
      </c>
      <c r="B9" s="3" t="s">
        <v>25</v>
      </c>
      <c r="C9" s="3" t="s">
        <v>40</v>
      </c>
      <c r="D9" s="2" t="s">
        <v>46</v>
      </c>
      <c r="E9" s="2">
        <v>2</v>
      </c>
      <c r="F9" s="2">
        <v>4</v>
      </c>
      <c r="G9" s="2">
        <f t="shared" si="1"/>
        <v>8</v>
      </c>
      <c r="H9" s="2" t="s">
        <v>31</v>
      </c>
    </row>
    <row r="10" spans="1:10" ht="29" x14ac:dyDescent="0.35">
      <c r="A10" s="2" t="s">
        <v>17</v>
      </c>
      <c r="B10" s="3" t="s">
        <v>27</v>
      </c>
      <c r="C10" s="3" t="s">
        <v>40</v>
      </c>
      <c r="D10" s="2" t="s">
        <v>46</v>
      </c>
      <c r="E10" s="2">
        <v>2</v>
      </c>
      <c r="F10" s="2">
        <v>4</v>
      </c>
      <c r="G10" s="2">
        <f t="shared" si="1"/>
        <v>8</v>
      </c>
      <c r="H10" s="2" t="s">
        <v>31</v>
      </c>
    </row>
    <row r="11" spans="1:10" ht="58" x14ac:dyDescent="0.35">
      <c r="A11" s="2" t="s">
        <v>18</v>
      </c>
      <c r="B11" s="3" t="s">
        <v>28</v>
      </c>
      <c r="C11" s="3" t="s">
        <v>42</v>
      </c>
      <c r="D11" s="2" t="s">
        <v>45</v>
      </c>
      <c r="E11" s="2">
        <v>2</v>
      </c>
      <c r="F11" s="2">
        <v>4</v>
      </c>
      <c r="G11" s="2">
        <f t="shared" si="1"/>
        <v>8</v>
      </c>
      <c r="H11" s="2" t="s">
        <v>31</v>
      </c>
    </row>
  </sheetData>
  <conditionalFormatting sqref="G2:G11">
    <cfRule type="cellIs" dxfId="4" priority="3" operator="greaterThan">
      <formula>15</formula>
    </cfRule>
  </conditionalFormatting>
  <conditionalFormatting sqref="G3:G11">
    <cfRule type="cellIs" dxfId="3" priority="2" operator="greaterThanOrEqual">
      <formula>10</formula>
    </cfRule>
  </conditionalFormatting>
  <conditionalFormatting sqref="G8:G11">
    <cfRule type="cellIs" dxfId="0" priority="1"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ranjan</dc:creator>
  <cp:lastModifiedBy>Ravi ranjan</cp:lastModifiedBy>
  <dcterms:created xsi:type="dcterms:W3CDTF">2026-03-19T07:22:34Z</dcterms:created>
  <dcterms:modified xsi:type="dcterms:W3CDTF">2026-03-19T07:56:33Z</dcterms:modified>
</cp:coreProperties>
</file>